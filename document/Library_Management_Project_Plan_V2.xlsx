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ony/Downloads/"/>
    </mc:Choice>
  </mc:AlternateContent>
  <xr:revisionPtr revIDLastSave="0" documentId="13_ncr:1_{B5D60928-A6A5-EB49-AA49-B406F0F5F11D}" xr6:coauthVersionLast="47" xr6:coauthVersionMax="47" xr10:uidLastSave="{00000000-0000-0000-0000-000000000000}"/>
  <bookViews>
    <workbookView xWindow="0" yWindow="660" windowWidth="30240" windowHeight="17340" activeTab="2" xr2:uid="{00000000-000D-0000-FFFF-FFFF00000000}"/>
  </bookViews>
  <sheets>
    <sheet name="1. Master Plan" sheetId="4" r:id="rId1"/>
    <sheet name="2. To-do list" sheetId="5" r:id="rId2"/>
    <sheet name="3. Detail Plan" sheetId="3" r:id="rId3"/>
    <sheet name="4. WBS &amp; Requirements" sheetId="1" r:id="rId4"/>
    <sheet name="Ref. Definition of Don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L23" i="3"/>
  <c r="L17" i="3"/>
  <c r="L7" i="3"/>
  <c r="L4" i="3"/>
  <c r="L2" i="3"/>
  <c r="L10" i="3"/>
  <c r="L22" i="3"/>
  <c r="L21" i="3"/>
  <c r="L20" i="3"/>
  <c r="L19" i="3"/>
  <c r="L18" i="3"/>
  <c r="L12" i="3"/>
  <c r="F26" i="3"/>
  <c r="F23" i="3"/>
  <c r="F10" i="3"/>
  <c r="F2" i="3"/>
</calcChain>
</file>

<file path=xl/sharedStrings.xml><?xml version="1.0" encoding="utf-8"?>
<sst xmlns="http://schemas.openxmlformats.org/spreadsheetml/2006/main" count="368" uniqueCount="212">
  <si>
    <t>WBS ID</t>
  </si>
  <si>
    <t>Giai đoạn / Module</t>
  </si>
  <si>
    <t>Tên chức năng (Feature)</t>
  </si>
  <si>
    <t>Mô tả chi tiết (User Story/Logic)</t>
  </si>
  <si>
    <t>Tiêu chí nghiệm thu (Acceptance Criteria)</t>
  </si>
  <si>
    <t>1.0</t>
  </si>
  <si>
    <t>Khởi tạo &amp; Lập kế hoạch</t>
  </si>
  <si>
    <t>Thu thập yêu cầu &amp; Phân tích</t>
  </si>
  <si>
    <t>Phân tích nghiệp vụ thư viện, làm rõ luồng mượn/trả/gia hạn.</t>
  </si>
  <si>
    <t>Tài liệu SRS và Project Plan được phê duyệt.</t>
  </si>
  <si>
    <t>2.0</t>
  </si>
  <si>
    <t>Thiết kế UI/UX</t>
  </si>
  <si>
    <t>Thiết kế giao diện Admin</t>
  </si>
  <si>
    <t>Lên wireframe và UI mockup cho toàn bộ hệ thống (Web App).</t>
  </si>
  <si>
    <t>Figma design được chốt bởi Stakeholders.</t>
  </si>
  <si>
    <t>3.0</t>
  </si>
  <si>
    <t>Phát triển (Development)</t>
  </si>
  <si>
    <t>Module 1: Onboarding</t>
  </si>
  <si>
    <t>Đăng nhập, đăng ký cho Thủ thư. Khách vãng lai xem danh mục sách.</t>
  </si>
  <si>
    <t>Đăng nhập thành công, phân quyền đúng.</t>
  </si>
  <si>
    <t>3.1</t>
  </si>
  <si>
    <t>Module 2: Quản lý sách</t>
  </si>
  <si>
    <t>CRUD (Thêm, sửa, xóa, xem) danh mục sách. Quản lý số lượng tồn kho.</t>
  </si>
  <si>
    <t>Thêm sách mới thành công, hiển thị đúng tồn kho.</t>
  </si>
  <si>
    <t>3.2</t>
  </si>
  <si>
    <t>Module 3: Quản lý độc giả</t>
  </si>
  <si>
    <t>Quản lý hồ sơ độc giả (Tên, SĐT, Email). Xem lịch sử mượn/trả của từng người.</t>
  </si>
  <si>
    <t>Tìm kiếm độc giả chính xác bằng SĐT/Email.</t>
  </si>
  <si>
    <t>3.3</t>
  </si>
  <si>
    <t>Module 4: Mượn sách</t>
  </si>
  <si>
    <t>Flow 3 bước: 1. Tìm chọn độc giả -&gt; 2. Chọn sách -&gt; 3. Xác nhận tạo phiếu.</t>
  </si>
  <si>
    <t>Tạo phiếu mượn thành công, trừ số lượng tồn kho sách.</t>
  </si>
  <si>
    <t>3.4</t>
  </si>
  <si>
    <t>Module 5: Trả sách</t>
  </si>
  <si>
    <t>Tìm kiếm phiếu mượn (theo tên, mã phiếu, mã sách) và cập nhật trạng thái trả.</t>
  </si>
  <si>
    <t>Cập nhật thành công, cộng lại tồn kho sách.</t>
  </si>
  <si>
    <t>3.5</t>
  </si>
  <si>
    <t>Module 6: Gia hạn</t>
  </si>
  <si>
    <t>Tìm phiếu mượn và cộng thêm thời gian gia hạn (mặc định +7 ngày).</t>
  </si>
  <si>
    <t>Ngày hạn trả mới = Ngày hạn cũ + 7 ngày.</t>
  </si>
  <si>
    <t>3.6</t>
  </si>
  <si>
    <t>Module 7: Báo cáo &amp; Thống kê</t>
  </si>
  <si>
    <t>Dashboard tổng quan: Số đầu sách, Độc giả, Đang mượn, Quá hạn. Danh sách phiếu chi tiết.</t>
  </si>
  <si>
    <t>Hiển thị đúng số liệu realtime, highlight đỏ các phiếu quá hạn.</t>
  </si>
  <si>
    <t>4.0</t>
  </si>
  <si>
    <t>Kiểm thử (Testing)</t>
  </si>
  <si>
    <t>Kiểm thử hệ thống (SIT &amp; UAT)</t>
  </si>
  <si>
    <t>Test các luồng nghiệp vụ chính, test giao diện và bảo mật.</t>
  </si>
  <si>
    <t>Pass 100% test case luồng chính, zero critical bugs.</t>
  </si>
  <si>
    <t>5.0</t>
  </si>
  <si>
    <t>Triển khai (Deployment)</t>
  </si>
  <si>
    <t>Golive &amp; Đào tạo</t>
  </si>
  <si>
    <t>Đưa hệ thống lên môi trường thật, tạo tài liệu HDSD cho thủ thư.</t>
  </si>
  <si>
    <t>Hệ thống chạy ổn định trên Production.</t>
  </si>
  <si>
    <t>Applied To</t>
  </si>
  <si>
    <t>US/DE ###</t>
  </si>
  <si>
    <t>Items</t>
  </si>
  <si>
    <t>Check (Y/N/NA)</t>
  </si>
  <si>
    <t>Feature</t>
  </si>
  <si>
    <t>User Story</t>
  </si>
  <si>
    <t>Defect</t>
  </si>
  <si>
    <t>Spike</t>
  </si>
  <si>
    <t>Notes</t>
  </si>
  <si>
    <t>Comment</t>
  </si>
  <si>
    <t>1</t>
  </si>
  <si>
    <t>Doneness of Requirements</t>
  </si>
  <si>
    <t>✓</t>
  </si>
  <si>
    <t>1.1</t>
  </si>
  <si>
    <t>Acceptance Criteria are met</t>
  </si>
  <si>
    <t>2</t>
  </si>
  <si>
    <t>Doneness of Design &amp; Solutioning</t>
  </si>
  <si>
    <t>2.1</t>
  </si>
  <si>
    <t>Technical Design Diagram available</t>
  </si>
  <si>
    <t>DB Schema, API Specs</t>
  </si>
  <si>
    <t>3</t>
  </si>
  <si>
    <t>Doneness of Coding</t>
  </si>
  <si>
    <t>All PRs have been reviewed &amp; approved</t>
  </si>
  <si>
    <t>Unit Test Coverage &gt;= 80%</t>
  </si>
  <si>
    <t>4</t>
  </si>
  <si>
    <t>Doneness of Testing</t>
  </si>
  <si>
    <t>4.1</t>
  </si>
  <si>
    <t>Test Cases covered Happy &amp; Negative flows</t>
  </si>
  <si>
    <t>4.2</t>
  </si>
  <si>
    <t>Functionality Testing passed 100%</t>
  </si>
  <si>
    <t>WBS Ref</t>
  </si>
  <si>
    <t>Tên Công Việc</t>
  </si>
  <si>
    <t>Người phụ trách</t>
  </si>
  <si>
    <t>Trạng thái</t>
  </si>
  <si>
    <t>Độ ưu tiên</t>
  </si>
  <si>
    <t>O</t>
  </si>
  <si>
    <t>M</t>
  </si>
  <si>
    <t>P</t>
  </si>
  <si>
    <t>ET (Ngày)</t>
  </si>
  <si>
    <t>Ngày bắt đầu</t>
  </si>
  <si>
    <t>Ngày kết thúc</t>
  </si>
  <si>
    <t>Khảo sát luồng nghiệp vụ với Thủ thư</t>
  </si>
  <si>
    <t>BA</t>
  </si>
  <si>
    <t>Done</t>
  </si>
  <si>
    <t>High</t>
  </si>
  <si>
    <t>01/06/2026</t>
  </si>
  <si>
    <t>03/06/2026</t>
  </si>
  <si>
    <t>Thiết kế màn hình Dashboard</t>
  </si>
  <si>
    <t>UI/UX</t>
  </si>
  <si>
    <t>In Progress</t>
  </si>
  <si>
    <t>04/06/2026</t>
  </si>
  <si>
    <t>07/06/2026</t>
  </si>
  <si>
    <t>Code chức năng Flow mượn sách (3 bước)</t>
  </si>
  <si>
    <t>Dev</t>
  </si>
  <si>
    <t>To Do</t>
  </si>
  <si>
    <t>10/06/2026</t>
  </si>
  <si>
    <t>15/06/2026</t>
  </si>
  <si>
    <t>Code chức năng gia hạn (+7 ngày)</t>
  </si>
  <si>
    <t>Medium</t>
  </si>
  <si>
    <t>16/06/2026</t>
  </si>
  <si>
    <t>18/06/2026</t>
  </si>
  <si>
    <t>Làm UI/Logic màn Báo cáo</t>
  </si>
  <si>
    <t>20/06/2026</t>
  </si>
  <si>
    <t>25/06/2026</t>
  </si>
  <si>
    <t>Viết Test Case cho luồng Mượn/Trả</t>
  </si>
  <si>
    <t>QC</t>
  </si>
  <si>
    <t>12/06/2026</t>
  </si>
  <si>
    <t>Task Name</t>
  </si>
  <si>
    <t>Resource</t>
  </si>
  <si>
    <t>ET (Days)</t>
  </si>
  <si>
    <t>June</t>
  </si>
  <si>
    <t>July</t>
  </si>
  <si>
    <t>W1</t>
  </si>
  <si>
    <t>W2</t>
  </si>
  <si>
    <t>W3</t>
  </si>
  <si>
    <t>W4</t>
  </si>
  <si>
    <t>PHASE 1: Library Management System</t>
  </si>
  <si>
    <t>Requirement &amp; Analysis</t>
  </si>
  <si>
    <t>UI/UX Design</t>
  </si>
  <si>
    <t>Dev: Core Modules (Sách, Độc giả)</t>
  </si>
  <si>
    <t>Dev: Luồng Mượn/Trả/Gia hạn</t>
  </si>
  <si>
    <t>Dev: Báo cáo Thống kê</t>
  </si>
  <si>
    <t>QC, Users</t>
  </si>
  <si>
    <t>Golive &amp; Deployment</t>
  </si>
  <si>
    <t>Lead</t>
  </si>
  <si>
    <t>★</t>
  </si>
  <si>
    <t>Development</t>
  </si>
  <si>
    <t>PIC</t>
  </si>
  <si>
    <t>PM&amp;BA</t>
  </si>
  <si>
    <t>Designer</t>
  </si>
  <si>
    <t>Development team</t>
  </si>
  <si>
    <t>QC team</t>
  </si>
  <si>
    <t>All team</t>
  </si>
  <si>
    <t>Task</t>
  </si>
  <si>
    <t>Start Date</t>
  </si>
  <si>
    <t>End Date</t>
  </si>
  <si>
    <t>Status</t>
  </si>
  <si>
    <t>Owner</t>
  </si>
  <si>
    <t>DatNX3</t>
  </si>
  <si>
    <t>Build knowlege exsting US and SDS</t>
  </si>
  <si>
    <t>Build implement</t>
  </si>
  <si>
    <t>DatPV7 - DatNX3</t>
  </si>
  <si>
    <t>Andy</t>
  </si>
  <si>
    <t>Nana</t>
  </si>
  <si>
    <t>QC &amp; UAT</t>
  </si>
  <si>
    <t>Mypt</t>
  </si>
  <si>
    <t>Lấy thông tin chi tiết yêu cầu</t>
  </si>
  <si>
    <t>Khởi tạo document (User stories)</t>
  </si>
  <si>
    <t>Thaop</t>
  </si>
  <si>
    <t xml:space="preserve">Demo </t>
  </si>
  <si>
    <t>UAT</t>
  </si>
  <si>
    <t>Process</t>
  </si>
  <si>
    <t>In-process</t>
  </si>
  <si>
    <t>Developmet</t>
  </si>
  <si>
    <t>Truyền tải chi tiết yêu cầu (nội bộ)</t>
  </si>
  <si>
    <t>US and SDS - Done</t>
  </si>
  <si>
    <t>All teams</t>
  </si>
  <si>
    <t>Dev, QC</t>
  </si>
  <si>
    <t>DatNX3 + VuMP</t>
  </si>
  <si>
    <t>Priority</t>
  </si>
  <si>
    <t>Tạo master data danh sách sách</t>
  </si>
  <si>
    <t>Tạo master data danh sách độc giả</t>
  </si>
  <si>
    <t>Build task dựa vào spec.md + plan.md trên kho lưu trữ</t>
  </si>
  <si>
    <t>Kickoff dự án + lấy chi tiét yêu cầu</t>
  </si>
  <si>
    <t>BA&amp;PM</t>
  </si>
  <si>
    <t>No</t>
  </si>
  <si>
    <t>Ghi chú</t>
  </si>
  <si>
    <t>Xác nhận logic phạt quá hạn</t>
  </si>
  <si>
    <t>Follow tone màu xanh lá của hệ thống</t>
  </si>
  <si>
    <t>Dev Team</t>
  </si>
  <si>
    <t>Cần tối ưu API tìm kiếm độc giả</t>
  </si>
  <si>
    <t>Chỉ cho phép gia hạn 1 lần/phiếu</t>
  </si>
  <si>
    <t>Chú ý logic tính ngày quá hạn</t>
  </si>
  <si>
    <t>BA &amp; QC</t>
  </si>
  <si>
    <t>Todo</t>
  </si>
  <si>
    <t>Remarks</t>
  </si>
  <si>
    <t>thực hiện test song song trong quá trình development</t>
  </si>
  <si>
    <t>BA hỗ trợ demo với khách hàng, và standby trong quá trình UAT</t>
  </si>
  <si>
    <t>yes</t>
  </si>
  <si>
    <t>Yes</t>
  </si>
  <si>
    <t>check lại các cột O, M, P, ET</t>
  </si>
  <si>
    <t>Thiết kế Database Schema (Sách, Độc giả, Phiếu)</t>
  </si>
  <si>
    <t>ERD hoàn thiện, tối ưu hóa truy vấn.</t>
  </si>
  <si>
    <t>Thiết kế UI Mockup cho Module Mượn sách (3 bước)</t>
  </si>
  <si>
    <t>Mockup tuân thủ luồng: Độc giả -&gt; Sách -&gt; Xác nhận.</t>
  </si>
  <si>
    <t>Code giao diện &amp; Logic tìm kiếm độc giả</t>
  </si>
  <si>
    <t>Tìm đúng mã/SĐT, thông tin hiển thị realtime.</t>
  </si>
  <si>
    <t>Code Logic kiểm tra tồn kho &amp; Tạo phiếu mượn</t>
  </si>
  <si>
    <t>Code Logic gia hạn trả sách (+7 ngày)</t>
  </si>
  <si>
    <t>Ngày hạn trả mới = Hạn cũ + 7 ngày.</t>
  </si>
  <si>
    <t>Code Dashboard Thống kê &amp; Highlight quá hạn</t>
  </si>
  <si>
    <t>Hiển thị đúng 4 thông số: Đầu sách, Độc giả, Đang mượn, Quá hạn.</t>
  </si>
  <si>
    <t>Viết Unit Test cho các API nghiệp vụ chính</t>
  </si>
  <si>
    <t>Thực hiện kiểm thử chức năng (Functionality Testing)</t>
  </si>
  <si>
    <t>Pass 100% test cases (Happy &amp; Negative flows).</t>
  </si>
  <si>
    <t>Viết tài liệu Release Notes &amp; Rollback Plan</t>
  </si>
  <si>
    <t>Code giao diện gia hạn (+7 ngày)</t>
  </si>
  <si>
    <t>Tạo thành công phiếu PMxxxxxxxxxx, trừ tồn kho chính xác.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</si>
</sst>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  <fill>
      <patternFill patternType="solid">
        <fgColor rgb="FF7030A0"/>
        <bgColor rgb="FF7030A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9" borderId="0" xfId="1" applyFont="1" applyFill="1" applyAlignment="1">
      <alignment horizontal="left" indent="1"/>
    </xf>
    <xf numFmtId="0" fontId="0" fillId="10" borderId="0" xfId="0" applyFill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9" borderId="1" xfId="1" applyFont="1" applyFill="1" applyBorder="1" applyAlignment="1">
      <alignment horizontal="left" inden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5" fillId="9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top" wrapText="1"/>
    </xf>
    <xf numFmtId="0" fontId="6" fillId="1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14" fontId="5" fillId="9" borderId="1" xfId="1" applyNumberFormat="1" applyFont="1" applyFill="1" applyBorder="1" applyAlignment="1">
      <alignment horizontal="right" vertical="center"/>
    </xf>
    <xf numFmtId="14" fontId="5" fillId="12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5" fillId="9" borderId="1" xfId="1" applyNumberFormat="1" applyFont="1" applyFill="1" applyBorder="1" applyAlignment="1">
      <alignment horizontal="right"/>
    </xf>
    <xf numFmtId="14" fontId="5" fillId="12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right" vertical="top" wrapText="1"/>
    </xf>
    <xf numFmtId="1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0" xfId="0" applyAlignment="1">
      <alignment horizontal="right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9" borderId="1" xfId="1" applyFont="1" applyFill="1" applyBorder="1" applyAlignment="1">
      <alignment horizontal="right"/>
    </xf>
    <xf numFmtId="0" fontId="5" fillId="1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3" xfId="0" applyBorder="1" applyAlignment="1">
      <alignment vertical="top" wrapText="1"/>
    </xf>
    <xf numFmtId="0" fontId="0" fillId="0" borderId="3" xfId="0" applyBorder="1"/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9" fontId="6" fillId="11" borderId="1" xfId="2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/>
    </xf>
    <xf numFmtId="9" fontId="6" fillId="0" borderId="1" xfId="2" applyFont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1" xfId="2" applyFont="1" applyBorder="1" applyAlignment="1">
      <alignment horizontal="center"/>
    </xf>
    <xf numFmtId="0" fontId="1" fillId="9" borderId="1" xfId="1" applyFont="1" applyFill="1" applyBorder="1" applyAlignment="1">
      <alignment horizontal="center"/>
    </xf>
    <xf numFmtId="0" fontId="3" fillId="3" borderId="1" xfId="0" applyFont="1" applyFill="1" applyBorder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3">
    <cellStyle name="Normal" xfId="0" builtinId="0"/>
    <cellStyle name="Normal 7 2 2 2" xfId="1" xr:uid="{12062D89-975C-C741-AA8E-2ED950225E66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D41" sqref="D41"/>
    </sheetView>
  </sheetViews>
  <sheetFormatPr baseColWidth="10" defaultColWidth="8.83203125" defaultRowHeight="15" x14ac:dyDescent="0.2"/>
  <cols>
    <col min="2" max="2" width="35" customWidth="1"/>
    <col min="3" max="3" width="13.83203125" customWidth="1"/>
    <col min="5" max="5" width="15.6640625" customWidth="1"/>
    <col min="6" max="6" width="19.33203125" customWidth="1"/>
    <col min="7" max="7" width="14.5" customWidth="1"/>
    <col min="8" max="9" width="13" customWidth="1"/>
    <col min="10" max="10" width="14.6640625" customWidth="1"/>
    <col min="11" max="11" width="13" customWidth="1"/>
    <col min="12" max="12" width="12.5" customWidth="1"/>
  </cols>
  <sheetData>
    <row r="1" spans="1:12" x14ac:dyDescent="0.2">
      <c r="A1" s="62" t="s">
        <v>0</v>
      </c>
      <c r="B1" s="62" t="s">
        <v>121</v>
      </c>
      <c r="C1" s="62" t="s">
        <v>122</v>
      </c>
      <c r="D1" s="62" t="s">
        <v>123</v>
      </c>
      <c r="E1" s="64" t="s">
        <v>124</v>
      </c>
      <c r="F1" s="61"/>
      <c r="G1" s="61"/>
      <c r="H1" s="61"/>
      <c r="I1" s="64" t="s">
        <v>125</v>
      </c>
      <c r="J1" s="61"/>
      <c r="K1" s="61"/>
      <c r="L1" s="61"/>
    </row>
    <row r="2" spans="1:12" x14ac:dyDescent="0.2">
      <c r="A2" s="63"/>
      <c r="B2" s="63"/>
      <c r="C2" s="63"/>
      <c r="D2" s="63"/>
      <c r="E2" s="3" t="s">
        <v>126</v>
      </c>
      <c r="F2" s="3" t="s">
        <v>127</v>
      </c>
      <c r="G2" s="3" t="s">
        <v>128</v>
      </c>
      <c r="H2" s="3" t="s">
        <v>129</v>
      </c>
      <c r="I2" s="3" t="s">
        <v>126</v>
      </c>
      <c r="J2" s="3" t="s">
        <v>127</v>
      </c>
      <c r="K2" s="3" t="s">
        <v>128</v>
      </c>
      <c r="L2" s="3" t="s">
        <v>129</v>
      </c>
    </row>
    <row r="3" spans="1:12" x14ac:dyDescent="0.2">
      <c r="A3" s="60" t="s">
        <v>130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x14ac:dyDescent="0.2">
      <c r="A4" s="4" t="s">
        <v>5</v>
      </c>
      <c r="B4" s="4" t="s">
        <v>131</v>
      </c>
      <c r="C4" s="4" t="s">
        <v>96</v>
      </c>
      <c r="D4" s="4">
        <v>5</v>
      </c>
      <c r="E4" s="8"/>
      <c r="F4" s="4"/>
      <c r="G4" s="4"/>
      <c r="H4" s="4"/>
      <c r="I4" s="4"/>
      <c r="J4" s="4"/>
      <c r="K4" s="4"/>
      <c r="L4" s="4"/>
    </row>
    <row r="5" spans="1:12" x14ac:dyDescent="0.2">
      <c r="A5" s="4" t="s">
        <v>10</v>
      </c>
      <c r="B5" s="4" t="s">
        <v>132</v>
      </c>
      <c r="C5" s="4" t="s">
        <v>102</v>
      </c>
      <c r="D5" s="4">
        <v>7</v>
      </c>
      <c r="E5" s="4"/>
      <c r="F5" s="9"/>
      <c r="G5" s="4"/>
      <c r="H5" s="4"/>
      <c r="I5" s="4"/>
      <c r="J5" s="4"/>
      <c r="K5" s="4"/>
      <c r="L5" s="4"/>
    </row>
    <row r="6" spans="1:12" x14ac:dyDescent="0.2">
      <c r="A6" s="4" t="s">
        <v>15</v>
      </c>
      <c r="B6" s="4" t="s">
        <v>133</v>
      </c>
      <c r="C6" s="4" t="s">
        <v>107</v>
      </c>
      <c r="D6" s="4">
        <v>10</v>
      </c>
      <c r="E6" s="4"/>
      <c r="F6" s="4"/>
      <c r="G6" s="10"/>
      <c r="H6" s="4"/>
      <c r="I6" s="4"/>
      <c r="J6" s="4"/>
      <c r="K6" s="4"/>
      <c r="L6" s="4"/>
    </row>
    <row r="7" spans="1:12" x14ac:dyDescent="0.2">
      <c r="A7" s="4" t="s">
        <v>15</v>
      </c>
      <c r="B7" s="4" t="s">
        <v>134</v>
      </c>
      <c r="C7" s="4" t="s">
        <v>107</v>
      </c>
      <c r="D7" s="4">
        <v>12</v>
      </c>
      <c r="E7" s="4"/>
      <c r="F7" s="4"/>
      <c r="G7" s="4"/>
      <c r="H7" s="10"/>
      <c r="I7" s="10"/>
      <c r="J7" s="4"/>
      <c r="K7" s="4"/>
      <c r="L7" s="4"/>
    </row>
    <row r="8" spans="1:12" x14ac:dyDescent="0.2">
      <c r="A8" s="4" t="s">
        <v>15</v>
      </c>
      <c r="B8" s="4" t="s">
        <v>135</v>
      </c>
      <c r="C8" s="4" t="s">
        <v>107</v>
      </c>
      <c r="D8" s="4">
        <v>6</v>
      </c>
      <c r="E8" s="4"/>
      <c r="F8" s="4"/>
      <c r="G8" s="4"/>
      <c r="H8" s="4"/>
      <c r="I8" s="4"/>
      <c r="J8" s="10"/>
      <c r="K8" s="4"/>
      <c r="L8" s="4"/>
    </row>
    <row r="9" spans="1:12" x14ac:dyDescent="0.2">
      <c r="A9" s="4" t="s">
        <v>44</v>
      </c>
      <c r="B9" s="4" t="s">
        <v>158</v>
      </c>
      <c r="C9" s="4" t="s">
        <v>136</v>
      </c>
      <c r="D9" s="4">
        <v>8</v>
      </c>
      <c r="E9" s="4"/>
      <c r="F9" s="4"/>
      <c r="G9" s="4"/>
      <c r="H9" s="4"/>
      <c r="I9" s="4"/>
      <c r="J9" s="11"/>
      <c r="K9" s="11"/>
      <c r="L9" s="4"/>
    </row>
    <row r="10" spans="1:12" x14ac:dyDescent="0.2">
      <c r="A10" s="4" t="s">
        <v>49</v>
      </c>
      <c r="B10" s="4" t="s">
        <v>137</v>
      </c>
      <c r="C10" s="4" t="s">
        <v>138</v>
      </c>
      <c r="D10" s="4">
        <v>3</v>
      </c>
      <c r="E10" s="4"/>
      <c r="F10" s="4"/>
      <c r="G10" s="4"/>
      <c r="H10" s="4"/>
      <c r="I10" s="4"/>
      <c r="J10" s="4"/>
      <c r="K10" s="4"/>
      <c r="L10" s="12" t="s">
        <v>139</v>
      </c>
    </row>
  </sheetData>
  <mergeCells count="7">
    <mergeCell ref="A3:L3"/>
    <mergeCell ref="A1:A2"/>
    <mergeCell ref="I1:L1"/>
    <mergeCell ref="C1:C2"/>
    <mergeCell ref="B1:B2"/>
    <mergeCell ref="D1:D2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E8D-B9A8-0E4D-9678-A9F7F5B23A38}">
  <dimension ref="A1:I7"/>
  <sheetViews>
    <sheetView workbookViewId="0">
      <selection activeCell="D27" sqref="D27"/>
    </sheetView>
  </sheetViews>
  <sheetFormatPr baseColWidth="10" defaultColWidth="8.83203125" defaultRowHeight="15" x14ac:dyDescent="0.2"/>
  <cols>
    <col min="2" max="2" width="10" customWidth="1"/>
    <col min="3" max="3" width="40" customWidth="1"/>
    <col min="4" max="4" width="20" customWidth="1"/>
    <col min="5" max="6" width="15" customWidth="1"/>
    <col min="7" max="7" width="16.1640625" customWidth="1"/>
    <col min="8" max="8" width="15.83203125" customWidth="1"/>
    <col min="9" max="9" width="30" customWidth="1"/>
  </cols>
  <sheetData>
    <row r="1" spans="1:9" x14ac:dyDescent="0.2">
      <c r="A1" s="27" t="s">
        <v>179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93</v>
      </c>
      <c r="H1" s="27" t="s">
        <v>94</v>
      </c>
      <c r="I1" s="27" t="s">
        <v>180</v>
      </c>
    </row>
    <row r="2" spans="1:9" ht="16" x14ac:dyDescent="0.2">
      <c r="A2" s="2">
        <v>1</v>
      </c>
      <c r="B2" s="2" t="s">
        <v>5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  <c r="H2" s="2" t="s">
        <v>100</v>
      </c>
      <c r="I2" s="2" t="s">
        <v>181</v>
      </c>
    </row>
    <row r="3" spans="1:9" ht="16" x14ac:dyDescent="0.2">
      <c r="A3" s="2">
        <v>2</v>
      </c>
      <c r="B3" s="2" t="s">
        <v>10</v>
      </c>
      <c r="C3" s="2" t="s">
        <v>101</v>
      </c>
      <c r="D3" s="2" t="s">
        <v>102</v>
      </c>
      <c r="E3" s="2" t="s">
        <v>103</v>
      </c>
      <c r="F3" s="2" t="s">
        <v>98</v>
      </c>
      <c r="G3" s="2" t="s">
        <v>104</v>
      </c>
      <c r="H3" s="2" t="s">
        <v>105</v>
      </c>
      <c r="I3" s="2" t="s">
        <v>182</v>
      </c>
    </row>
    <row r="4" spans="1:9" ht="16" x14ac:dyDescent="0.2">
      <c r="A4" s="2">
        <v>3</v>
      </c>
      <c r="B4" s="2" t="s">
        <v>28</v>
      </c>
      <c r="C4" s="2" t="s">
        <v>106</v>
      </c>
      <c r="D4" s="2" t="s">
        <v>183</v>
      </c>
      <c r="E4" s="2" t="s">
        <v>108</v>
      </c>
      <c r="F4" s="2" t="s">
        <v>98</v>
      </c>
      <c r="G4" s="2" t="s">
        <v>109</v>
      </c>
      <c r="H4" s="2" t="s">
        <v>110</v>
      </c>
      <c r="I4" s="2" t="s">
        <v>184</v>
      </c>
    </row>
    <row r="5" spans="1:9" ht="16" x14ac:dyDescent="0.2">
      <c r="A5" s="2">
        <v>4</v>
      </c>
      <c r="B5" s="2" t="s">
        <v>36</v>
      </c>
      <c r="C5" s="2" t="s">
        <v>111</v>
      </c>
      <c r="D5" s="2" t="s">
        <v>183</v>
      </c>
      <c r="E5" s="2" t="s">
        <v>108</v>
      </c>
      <c r="F5" s="2" t="s">
        <v>112</v>
      </c>
      <c r="G5" s="2" t="s">
        <v>113</v>
      </c>
      <c r="H5" s="2" t="s">
        <v>114</v>
      </c>
      <c r="I5" s="2" t="s">
        <v>185</v>
      </c>
    </row>
    <row r="6" spans="1:9" ht="16" x14ac:dyDescent="0.2">
      <c r="A6" s="2">
        <v>5</v>
      </c>
      <c r="B6" s="2" t="s">
        <v>40</v>
      </c>
      <c r="C6" s="2" t="s">
        <v>115</v>
      </c>
      <c r="D6" s="2" t="s">
        <v>183</v>
      </c>
      <c r="E6" s="2" t="s">
        <v>108</v>
      </c>
      <c r="F6" s="2" t="s">
        <v>98</v>
      </c>
      <c r="G6" s="2" t="s">
        <v>116</v>
      </c>
      <c r="H6" s="2" t="s">
        <v>117</v>
      </c>
      <c r="I6" s="2" t="s">
        <v>186</v>
      </c>
    </row>
    <row r="7" spans="1:9" ht="16" x14ac:dyDescent="0.2">
      <c r="A7" s="2">
        <v>6</v>
      </c>
      <c r="B7" s="2" t="s">
        <v>44</v>
      </c>
      <c r="C7" s="2" t="s">
        <v>118</v>
      </c>
      <c r="D7" s="2" t="s">
        <v>119</v>
      </c>
      <c r="E7" s="2" t="s">
        <v>108</v>
      </c>
      <c r="F7" s="2" t="s">
        <v>98</v>
      </c>
      <c r="G7" s="2" t="s">
        <v>109</v>
      </c>
      <c r="H7" s="2" t="s">
        <v>120</v>
      </c>
      <c r="I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E35"/>
  <sheetViews>
    <sheetView tabSelected="1" workbookViewId="0">
      <selection activeCell="M35" sqref="M35"/>
    </sheetView>
  </sheetViews>
  <sheetFormatPr baseColWidth="10" defaultColWidth="8.83203125" defaultRowHeight="15" x14ac:dyDescent="0.2"/>
  <cols>
    <col min="1" max="1" width="44.33203125" customWidth="1"/>
    <col min="2" max="2" width="15.1640625" style="35" customWidth="1"/>
    <col min="3" max="3" width="15.83203125" style="42" customWidth="1"/>
    <col min="4" max="4" width="15" style="23" customWidth="1"/>
    <col min="5" max="5" width="10.6640625" customWidth="1"/>
    <col min="6" max="6" width="11.6640625" style="57" customWidth="1"/>
    <col min="7" max="7" width="14.5" style="23" customWidth="1"/>
    <col min="8" max="8" width="14.1640625" style="23" customWidth="1"/>
    <col min="12" max="12" width="18.1640625" style="42" customWidth="1"/>
    <col min="13" max="13" width="57.33203125" customWidth="1"/>
    <col min="14" max="14" width="17.5" customWidth="1"/>
    <col min="16" max="16" width="12.33203125" customWidth="1"/>
    <col min="17" max="18" width="15" customWidth="1"/>
  </cols>
  <sheetData>
    <row r="1" spans="1:499" s="14" customFormat="1" ht="17" x14ac:dyDescent="0.2">
      <c r="A1" s="28" t="s">
        <v>147</v>
      </c>
      <c r="B1" s="28" t="s">
        <v>148</v>
      </c>
      <c r="C1" s="28" t="s">
        <v>149</v>
      </c>
      <c r="D1" s="43" t="s">
        <v>141</v>
      </c>
      <c r="E1" s="43" t="s">
        <v>173</v>
      </c>
      <c r="F1" s="54" t="s">
        <v>165</v>
      </c>
      <c r="G1" s="24" t="s">
        <v>150</v>
      </c>
      <c r="H1" s="24" t="s">
        <v>151</v>
      </c>
      <c r="I1" s="47" t="s">
        <v>89</v>
      </c>
      <c r="J1" s="47" t="s">
        <v>90</v>
      </c>
      <c r="K1" s="47" t="s">
        <v>91</v>
      </c>
      <c r="L1" s="47" t="s">
        <v>92</v>
      </c>
      <c r="M1" s="24" t="s">
        <v>189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</row>
    <row r="2" spans="1:499" s="16" customFormat="1" ht="15.75" customHeight="1" x14ac:dyDescent="0.2">
      <c r="A2" s="19" t="s">
        <v>177</v>
      </c>
      <c r="B2" s="29">
        <v>46167</v>
      </c>
      <c r="C2" s="36">
        <v>46175</v>
      </c>
      <c r="D2" s="22" t="s">
        <v>178</v>
      </c>
      <c r="E2" s="19"/>
      <c r="F2" s="55">
        <f>AVERAGE(F3:F6)</f>
        <v>1</v>
      </c>
      <c r="G2" s="22" t="s">
        <v>97</v>
      </c>
      <c r="H2" s="22" t="s">
        <v>162</v>
      </c>
      <c r="I2" s="22">
        <v>2</v>
      </c>
      <c r="J2" s="22">
        <v>3</v>
      </c>
      <c r="K2" s="22">
        <v>5</v>
      </c>
      <c r="L2" s="46">
        <f>(I2+4*J2+K2)/6</f>
        <v>3.1666666666666665</v>
      </c>
      <c r="M2" s="2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</row>
    <row r="3" spans="1:499" ht="16" x14ac:dyDescent="0.2">
      <c r="A3" s="2" t="s">
        <v>160</v>
      </c>
      <c r="B3" s="30">
        <v>46167</v>
      </c>
      <c r="C3" s="37">
        <v>46167</v>
      </c>
      <c r="D3" s="26" t="s">
        <v>96</v>
      </c>
      <c r="E3" s="2" t="s">
        <v>98</v>
      </c>
      <c r="F3" s="56">
        <v>1</v>
      </c>
      <c r="G3" s="7" t="s">
        <v>97</v>
      </c>
      <c r="H3" s="18" t="s">
        <v>162</v>
      </c>
      <c r="I3" s="2"/>
      <c r="J3" s="2"/>
      <c r="K3" s="2"/>
      <c r="L3" s="38"/>
      <c r="M3" s="4"/>
    </row>
    <row r="4" spans="1:499" s="16" customFormat="1" ht="15.75" customHeight="1" x14ac:dyDescent="0.2">
      <c r="A4" s="19" t="s">
        <v>161</v>
      </c>
      <c r="B4" s="29" t="s">
        <v>99</v>
      </c>
      <c r="C4" s="36" t="s">
        <v>100</v>
      </c>
      <c r="D4" s="22" t="s">
        <v>96</v>
      </c>
      <c r="E4" s="19" t="s">
        <v>98</v>
      </c>
      <c r="F4" s="55">
        <v>1</v>
      </c>
      <c r="G4" s="22" t="s">
        <v>97</v>
      </c>
      <c r="H4" s="22" t="s">
        <v>162</v>
      </c>
      <c r="I4" s="22">
        <v>5</v>
      </c>
      <c r="J4" s="22">
        <v>7</v>
      </c>
      <c r="K4" s="22">
        <v>10</v>
      </c>
      <c r="L4" s="46">
        <f>(I4+4*J4+K4)/6</f>
        <v>7.166666666666667</v>
      </c>
      <c r="M4" s="22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</row>
    <row r="5" spans="1:499" ht="15.75" customHeight="1" x14ac:dyDescent="0.2">
      <c r="A5" s="49" t="s">
        <v>197</v>
      </c>
      <c r="B5" s="49"/>
      <c r="I5" s="49">
        <v>2</v>
      </c>
      <c r="J5" s="49">
        <v>3</v>
      </c>
      <c r="K5" s="49">
        <v>5</v>
      </c>
      <c r="L5" s="49">
        <v>3.2</v>
      </c>
      <c r="M5" s="49" t="s">
        <v>198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</row>
    <row r="6" spans="1:499" ht="16" x14ac:dyDescent="0.2">
      <c r="A6" s="25" t="s">
        <v>101</v>
      </c>
      <c r="B6" s="32">
        <v>46175</v>
      </c>
      <c r="C6" s="39">
        <v>46175</v>
      </c>
      <c r="D6" s="17" t="s">
        <v>143</v>
      </c>
      <c r="E6" s="2" t="s">
        <v>98</v>
      </c>
      <c r="F6" s="56">
        <v>1</v>
      </c>
      <c r="G6" s="7" t="s">
        <v>97</v>
      </c>
      <c r="H6" s="18" t="s">
        <v>159</v>
      </c>
      <c r="I6" s="2"/>
      <c r="J6" s="2"/>
      <c r="K6" s="2"/>
      <c r="L6" s="38"/>
      <c r="M6" s="4"/>
    </row>
    <row r="7" spans="1:499" s="16" customFormat="1" ht="15.75" customHeight="1" x14ac:dyDescent="0.2">
      <c r="A7" s="19" t="s">
        <v>169</v>
      </c>
      <c r="B7" s="29" t="s">
        <v>104</v>
      </c>
      <c r="C7" s="36" t="s">
        <v>104</v>
      </c>
      <c r="D7" s="22" t="s">
        <v>170</v>
      </c>
      <c r="E7" s="19"/>
      <c r="F7" s="55">
        <v>1</v>
      </c>
      <c r="G7" s="22"/>
      <c r="H7" s="22" t="s">
        <v>152</v>
      </c>
      <c r="I7" s="22">
        <v>4</v>
      </c>
      <c r="J7" s="22">
        <v>6</v>
      </c>
      <c r="K7" s="22">
        <v>8</v>
      </c>
      <c r="L7" s="46">
        <f>(I7+4*J7+K7)/6</f>
        <v>6</v>
      </c>
      <c r="M7" s="22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</row>
    <row r="8" spans="1:499" ht="16" x14ac:dyDescent="0.2">
      <c r="A8" s="2" t="s">
        <v>168</v>
      </c>
      <c r="B8" s="30"/>
      <c r="C8" s="37"/>
      <c r="D8" s="17" t="s">
        <v>96</v>
      </c>
      <c r="E8" s="17"/>
      <c r="F8" s="56"/>
      <c r="G8" s="45"/>
      <c r="H8" s="18" t="s">
        <v>162</v>
      </c>
      <c r="I8" s="2"/>
      <c r="J8" s="2"/>
      <c r="K8" s="2"/>
      <c r="L8" s="38"/>
      <c r="M8" s="20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</row>
    <row r="9" spans="1:499" s="16" customFormat="1" ht="15.75" customHeight="1" x14ac:dyDescent="0.2">
      <c r="A9" s="4" t="s">
        <v>153</v>
      </c>
      <c r="B9" s="33"/>
      <c r="C9" s="40"/>
      <c r="D9" s="17" t="s">
        <v>171</v>
      </c>
      <c r="E9" s="17"/>
      <c r="F9" s="58"/>
      <c r="G9" s="7"/>
      <c r="H9" s="18" t="s">
        <v>172</v>
      </c>
      <c r="I9" s="2"/>
      <c r="J9" s="2"/>
      <c r="K9" s="2"/>
      <c r="L9" s="38"/>
      <c r="M9" s="4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</row>
    <row r="10" spans="1:499" ht="15.75" customHeight="1" x14ac:dyDescent="0.2">
      <c r="A10" s="19" t="s">
        <v>167</v>
      </c>
      <c r="B10" s="29">
        <v>46183</v>
      </c>
      <c r="C10" s="36" t="s">
        <v>117</v>
      </c>
      <c r="D10" s="22" t="s">
        <v>107</v>
      </c>
      <c r="E10" s="19"/>
      <c r="F10" s="55">
        <f>AVERAGE((F12:F22))</f>
        <v>0.48636363636363633</v>
      </c>
      <c r="G10" s="22" t="s">
        <v>166</v>
      </c>
      <c r="H10" s="22"/>
      <c r="I10" s="2">
        <v>2</v>
      </c>
      <c r="J10" s="2">
        <v>3</v>
      </c>
      <c r="K10" s="2">
        <v>5</v>
      </c>
      <c r="L10" s="38">
        <f t="shared" ref="L10" si="0">(I10+4*J10+K10)/6</f>
        <v>3.1666666666666665</v>
      </c>
      <c r="M10" s="22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</row>
    <row r="11" spans="1:499" ht="15.75" customHeight="1" x14ac:dyDescent="0.2">
      <c r="A11" s="49" t="s">
        <v>195</v>
      </c>
      <c r="B11" s="31" t="s">
        <v>109</v>
      </c>
      <c r="C11" s="32">
        <v>46183</v>
      </c>
      <c r="D11" s="7"/>
      <c r="E11" s="4"/>
      <c r="F11" s="58">
        <v>0.9</v>
      </c>
      <c r="G11" s="7"/>
      <c r="H11" s="23" t="s">
        <v>152</v>
      </c>
      <c r="I11" s="49">
        <v>1</v>
      </c>
      <c r="J11" s="49">
        <v>2</v>
      </c>
      <c r="K11" s="49">
        <v>3</v>
      </c>
      <c r="L11" s="49">
        <v>2</v>
      </c>
      <c r="M11" s="49" t="s">
        <v>196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</row>
    <row r="12" spans="1:499" ht="15.75" customHeight="1" x14ac:dyDescent="0.2">
      <c r="A12" s="50" t="s">
        <v>106</v>
      </c>
      <c r="B12" s="31" t="s">
        <v>109</v>
      </c>
      <c r="C12" s="31" t="s">
        <v>109</v>
      </c>
      <c r="D12" s="7"/>
      <c r="E12" s="2" t="s">
        <v>98</v>
      </c>
      <c r="F12" s="58">
        <v>0.3</v>
      </c>
      <c r="G12" s="7" t="s">
        <v>166</v>
      </c>
      <c r="H12" s="52" t="s">
        <v>156</v>
      </c>
      <c r="I12" s="2">
        <v>2</v>
      </c>
      <c r="J12" s="2">
        <v>3</v>
      </c>
      <c r="K12" s="2">
        <v>5</v>
      </c>
      <c r="L12" s="38">
        <f>(I12+4*J12+K12)/6</f>
        <v>3.1666666666666665</v>
      </c>
      <c r="M12" s="20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</row>
    <row r="13" spans="1:499" ht="15.75" customHeight="1" x14ac:dyDescent="0.2">
      <c r="A13" s="49" t="s">
        <v>199</v>
      </c>
      <c r="B13" s="32">
        <v>46184</v>
      </c>
      <c r="C13" s="32">
        <v>46184</v>
      </c>
      <c r="D13" s="7"/>
      <c r="E13" s="2" t="s">
        <v>98</v>
      </c>
      <c r="F13" s="58">
        <v>0.8</v>
      </c>
      <c r="G13" s="7"/>
      <c r="H13" s="23" t="s">
        <v>152</v>
      </c>
      <c r="I13" s="49">
        <v>1</v>
      </c>
      <c r="J13" s="49">
        <v>2</v>
      </c>
      <c r="K13" s="49">
        <v>4</v>
      </c>
      <c r="L13" s="49">
        <v>2.2000000000000002</v>
      </c>
      <c r="M13" s="49" t="s">
        <v>200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</row>
    <row r="14" spans="1:499" ht="15.75" customHeight="1" x14ac:dyDescent="0.2">
      <c r="A14" s="49" t="s">
        <v>201</v>
      </c>
      <c r="B14" s="32">
        <v>46184</v>
      </c>
      <c r="C14" s="53">
        <v>46185</v>
      </c>
      <c r="D14" s="7"/>
      <c r="E14" s="2" t="s">
        <v>98</v>
      </c>
      <c r="F14" s="58">
        <v>0.8</v>
      </c>
      <c r="G14" s="7"/>
      <c r="H14" s="23" t="s">
        <v>152</v>
      </c>
      <c r="I14" s="49">
        <v>2</v>
      </c>
      <c r="J14" s="49">
        <v>4</v>
      </c>
      <c r="K14" s="49">
        <v>6</v>
      </c>
      <c r="L14" s="49">
        <v>4</v>
      </c>
      <c r="M14" s="49" t="s">
        <v>211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</row>
    <row r="15" spans="1:499" ht="15.75" customHeight="1" x14ac:dyDescent="0.2">
      <c r="A15" s="49" t="s">
        <v>202</v>
      </c>
      <c r="B15" s="53">
        <v>46186</v>
      </c>
      <c r="C15" s="53">
        <v>46187</v>
      </c>
      <c r="D15" s="7"/>
      <c r="E15" s="2" t="s">
        <v>98</v>
      </c>
      <c r="F15" s="58">
        <v>0.7</v>
      </c>
      <c r="G15" s="7"/>
      <c r="H15" s="52" t="s">
        <v>156</v>
      </c>
      <c r="I15" s="49">
        <v>1</v>
      </c>
      <c r="J15" s="49">
        <v>1.5</v>
      </c>
      <c r="K15" s="49">
        <v>3</v>
      </c>
      <c r="L15" s="49">
        <v>1.7</v>
      </c>
      <c r="M15" s="49" t="s">
        <v>203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</row>
    <row r="16" spans="1:499" ht="15.75" customHeight="1" x14ac:dyDescent="0.2">
      <c r="A16" s="49" t="s">
        <v>204</v>
      </c>
      <c r="B16" s="53">
        <v>46187</v>
      </c>
      <c r="C16" s="53">
        <v>46187</v>
      </c>
      <c r="D16" s="7"/>
      <c r="E16" s="2" t="s">
        <v>112</v>
      </c>
      <c r="F16" s="58">
        <v>0.5</v>
      </c>
      <c r="G16" s="7"/>
      <c r="H16" s="52" t="s">
        <v>156</v>
      </c>
      <c r="I16" s="49">
        <v>2</v>
      </c>
      <c r="J16" s="49">
        <v>3</v>
      </c>
      <c r="K16" s="49">
        <v>5</v>
      </c>
      <c r="L16" s="49">
        <v>3.2</v>
      </c>
      <c r="M16" s="49" t="s">
        <v>205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</row>
    <row r="17" spans="1:499" ht="15.75" customHeight="1" x14ac:dyDescent="0.2">
      <c r="A17" s="50" t="s">
        <v>210</v>
      </c>
      <c r="B17" s="31" t="s">
        <v>113</v>
      </c>
      <c r="C17" s="38" t="s">
        <v>114</v>
      </c>
      <c r="D17" s="7"/>
      <c r="E17" s="2" t="s">
        <v>112</v>
      </c>
      <c r="F17" s="58">
        <v>0.8</v>
      </c>
      <c r="G17" s="7" t="s">
        <v>166</v>
      </c>
      <c r="H17" s="52" t="s">
        <v>157</v>
      </c>
      <c r="I17" s="2">
        <v>3</v>
      </c>
      <c r="J17" s="2">
        <v>4</v>
      </c>
      <c r="K17" s="2">
        <v>6</v>
      </c>
      <c r="L17" s="38">
        <f t="shared" ref="L17:L21" si="1">(I17+4*J17+K17)/6</f>
        <v>4.166666666666667</v>
      </c>
      <c r="M17" s="4"/>
    </row>
    <row r="18" spans="1:499" ht="15.75" customHeight="1" x14ac:dyDescent="0.2">
      <c r="A18" s="51" t="s">
        <v>174</v>
      </c>
      <c r="B18" s="31" t="s">
        <v>113</v>
      </c>
      <c r="C18" s="38" t="s">
        <v>114</v>
      </c>
      <c r="D18" s="7"/>
      <c r="E18" s="2" t="s">
        <v>98</v>
      </c>
      <c r="F18" s="58">
        <v>0.3</v>
      </c>
      <c r="G18" s="7" t="s">
        <v>166</v>
      </c>
      <c r="H18" s="52" t="s">
        <v>156</v>
      </c>
      <c r="I18" s="2">
        <v>5</v>
      </c>
      <c r="J18" s="2">
        <v>7</v>
      </c>
      <c r="K18" s="2">
        <v>10</v>
      </c>
      <c r="L18" s="38">
        <f t="shared" si="1"/>
        <v>7.166666666666667</v>
      </c>
      <c r="M18" s="4"/>
    </row>
    <row r="19" spans="1:499" ht="15.75" customHeight="1" x14ac:dyDescent="0.2">
      <c r="A19" s="51" t="s">
        <v>175</v>
      </c>
      <c r="B19" s="31" t="s">
        <v>114</v>
      </c>
      <c r="C19" s="38" t="s">
        <v>116</v>
      </c>
      <c r="D19" s="7"/>
      <c r="E19" s="2" t="s">
        <v>98</v>
      </c>
      <c r="F19" s="58">
        <v>0.25</v>
      </c>
      <c r="G19" s="7" t="s">
        <v>166</v>
      </c>
      <c r="H19" s="52" t="s">
        <v>156</v>
      </c>
      <c r="I19" s="2">
        <v>2</v>
      </c>
      <c r="J19" s="2">
        <v>3</v>
      </c>
      <c r="K19" s="2">
        <v>5</v>
      </c>
      <c r="L19" s="38">
        <f t="shared" si="1"/>
        <v>3.1666666666666665</v>
      </c>
      <c r="M19" s="20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</row>
    <row r="20" spans="1:499" ht="15.75" customHeight="1" x14ac:dyDescent="0.2">
      <c r="A20" s="50" t="s">
        <v>115</v>
      </c>
      <c r="B20" s="31" t="s">
        <v>114</v>
      </c>
      <c r="C20" s="38" t="s">
        <v>116</v>
      </c>
      <c r="D20" s="7"/>
      <c r="E20" s="2" t="s">
        <v>112</v>
      </c>
      <c r="F20" s="58">
        <v>0.3</v>
      </c>
      <c r="G20" s="7" t="s">
        <v>166</v>
      </c>
      <c r="H20" s="52" t="s">
        <v>156</v>
      </c>
      <c r="I20" s="2">
        <v>4</v>
      </c>
      <c r="J20" s="2">
        <v>6</v>
      </c>
      <c r="K20" s="2">
        <v>8</v>
      </c>
      <c r="L20" s="38">
        <f t="shared" si="1"/>
        <v>6</v>
      </c>
      <c r="M20" s="4"/>
    </row>
    <row r="21" spans="1:499" ht="16" customHeight="1" x14ac:dyDescent="0.2">
      <c r="A21" s="51" t="s">
        <v>176</v>
      </c>
      <c r="B21" s="31" t="s">
        <v>114</v>
      </c>
      <c r="C21" s="38" t="s">
        <v>116</v>
      </c>
      <c r="D21" s="7"/>
      <c r="E21" s="2" t="s">
        <v>98</v>
      </c>
      <c r="F21" s="58">
        <v>0.3</v>
      </c>
      <c r="G21" s="7" t="s">
        <v>166</v>
      </c>
      <c r="H21" s="52" t="s">
        <v>152</v>
      </c>
      <c r="I21" s="2">
        <v>2</v>
      </c>
      <c r="J21" s="2">
        <v>3</v>
      </c>
      <c r="K21" s="2">
        <v>5</v>
      </c>
      <c r="L21" s="38">
        <f t="shared" si="1"/>
        <v>3.1666666666666665</v>
      </c>
      <c r="M21" s="4"/>
    </row>
    <row r="22" spans="1:499" ht="15.75" customHeight="1" x14ac:dyDescent="0.2">
      <c r="A22" s="4" t="s">
        <v>154</v>
      </c>
      <c r="B22" s="31" t="s">
        <v>116</v>
      </c>
      <c r="C22" s="38" t="s">
        <v>117</v>
      </c>
      <c r="D22" s="7"/>
      <c r="E22" s="2" t="s">
        <v>98</v>
      </c>
      <c r="F22" s="58">
        <v>0.3</v>
      </c>
      <c r="G22" s="7" t="s">
        <v>166</v>
      </c>
      <c r="H22" s="7" t="s">
        <v>156</v>
      </c>
      <c r="I22" s="2">
        <v>2</v>
      </c>
      <c r="J22" s="2">
        <v>3</v>
      </c>
      <c r="K22" s="2">
        <v>5</v>
      </c>
      <c r="L22" s="38">
        <f t="shared" ref="L22:L23" si="2">(I22+4*J22+K22)/6</f>
        <v>3.1666666666666665</v>
      </c>
      <c r="M22" s="20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</row>
    <row r="23" spans="1:499" ht="15.75" customHeight="1" x14ac:dyDescent="0.2">
      <c r="A23" s="19" t="s">
        <v>119</v>
      </c>
      <c r="B23" s="29">
        <v>46183</v>
      </c>
      <c r="C23" s="36">
        <v>46203</v>
      </c>
      <c r="D23" s="22" t="s">
        <v>119</v>
      </c>
      <c r="E23" s="19"/>
      <c r="F23" s="55">
        <f>AVERAGE(F24:F25)</f>
        <v>0.25</v>
      </c>
      <c r="G23" s="22"/>
      <c r="H23" s="22"/>
      <c r="I23" s="22">
        <v>2</v>
      </c>
      <c r="J23" s="22">
        <v>3</v>
      </c>
      <c r="K23" s="22">
        <v>5</v>
      </c>
      <c r="L23" s="46">
        <f t="shared" si="2"/>
        <v>3.1666666666666665</v>
      </c>
      <c r="M23" s="59" t="s">
        <v>190</v>
      </c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</row>
    <row r="24" spans="1:499" ht="15.75" customHeight="1" x14ac:dyDescent="0.2">
      <c r="A24" s="49" t="s">
        <v>206</v>
      </c>
      <c r="B24" s="31" t="s">
        <v>109</v>
      </c>
      <c r="C24" s="39" t="s">
        <v>120</v>
      </c>
      <c r="D24" s="7"/>
      <c r="E24" s="2" t="s">
        <v>112</v>
      </c>
      <c r="F24" s="58">
        <v>0.5</v>
      </c>
      <c r="G24" s="7"/>
      <c r="H24" s="7"/>
      <c r="M24" s="4"/>
    </row>
    <row r="25" spans="1:499" ht="15.75" customHeight="1" x14ac:dyDescent="0.2">
      <c r="A25" s="49" t="s">
        <v>207</v>
      </c>
      <c r="B25" s="34">
        <v>46193</v>
      </c>
      <c r="C25" s="39">
        <v>46203</v>
      </c>
      <c r="D25" s="7"/>
      <c r="E25" s="2" t="s">
        <v>112</v>
      </c>
      <c r="F25" s="58">
        <v>0</v>
      </c>
      <c r="G25" s="7"/>
      <c r="H25" s="7"/>
      <c r="I25" s="49">
        <v>2</v>
      </c>
      <c r="J25" s="49">
        <v>3</v>
      </c>
      <c r="K25" s="49">
        <v>5</v>
      </c>
      <c r="L25" s="49">
        <v>3.2</v>
      </c>
      <c r="M25" s="49" t="s">
        <v>208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</row>
    <row r="26" spans="1:499" ht="15.75" customHeight="1" x14ac:dyDescent="0.2">
      <c r="A26" s="19" t="s">
        <v>164</v>
      </c>
      <c r="B26" s="29">
        <v>46158</v>
      </c>
      <c r="C26" s="36">
        <v>46161</v>
      </c>
      <c r="D26" s="22" t="s">
        <v>187</v>
      </c>
      <c r="E26" s="19"/>
      <c r="F26" s="55">
        <f>F27</f>
        <v>0</v>
      </c>
      <c r="G26" s="22" t="s">
        <v>188</v>
      </c>
      <c r="H26" s="22"/>
      <c r="I26" s="22">
        <v>2</v>
      </c>
      <c r="J26" s="22">
        <v>3</v>
      </c>
      <c r="K26" s="22">
        <v>5</v>
      </c>
      <c r="L26" s="46">
        <f>(I26+4*J26+K26)/6</f>
        <v>3.1666666666666665</v>
      </c>
      <c r="M26" s="22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</row>
    <row r="27" spans="1:499" ht="16" x14ac:dyDescent="0.2">
      <c r="A27" s="20" t="s">
        <v>163</v>
      </c>
      <c r="B27" s="31"/>
      <c r="C27" s="41"/>
      <c r="D27" s="7"/>
      <c r="E27" s="4"/>
      <c r="F27" s="58">
        <v>0</v>
      </c>
      <c r="G27" s="7"/>
      <c r="H27" s="21" t="s">
        <v>155</v>
      </c>
      <c r="I27" s="49">
        <v>1</v>
      </c>
      <c r="J27" s="49">
        <v>1</v>
      </c>
      <c r="K27" s="49">
        <v>2</v>
      </c>
      <c r="L27" s="49">
        <v>1.1000000000000001</v>
      </c>
      <c r="M27" s="4" t="s">
        <v>191</v>
      </c>
    </row>
    <row r="28" spans="1:499" ht="15.75" customHeight="1" x14ac:dyDescent="0.2">
      <c r="A28" s="19" t="s">
        <v>137</v>
      </c>
      <c r="B28" s="29">
        <v>46195</v>
      </c>
      <c r="C28" s="36"/>
      <c r="D28" s="22" t="s">
        <v>170</v>
      </c>
      <c r="E28" s="19"/>
      <c r="F28" s="55"/>
      <c r="G28" s="22" t="s">
        <v>188</v>
      </c>
      <c r="H28" s="22"/>
      <c r="I28" s="22"/>
      <c r="J28" s="22"/>
      <c r="K28" s="22"/>
      <c r="L28" s="46"/>
      <c r="M28" s="2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15"/>
      <c r="RB28" s="15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</row>
    <row r="29" spans="1:499" x14ac:dyDescent="0.2">
      <c r="A29" s="49" t="s">
        <v>209</v>
      </c>
      <c r="I29" s="49">
        <v>1</v>
      </c>
      <c r="J29" s="49">
        <v>1</v>
      </c>
      <c r="K29" s="49">
        <v>2</v>
      </c>
      <c r="L29" s="49">
        <v>1.1000000000000001</v>
      </c>
    </row>
    <row r="35" spans="8:8" x14ac:dyDescent="0.2">
      <c r="H35" s="48" t="s">
        <v>194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60" zoomScaleNormal="160" workbookViewId="0">
      <selection activeCell="F10" sqref="F10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30" customWidth="1"/>
    <col min="4" max="4" width="50" customWidth="1"/>
    <col min="5" max="5" width="16.33203125" customWidth="1"/>
    <col min="6" max="6" width="4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4</v>
      </c>
    </row>
    <row r="2" spans="1:6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142</v>
      </c>
      <c r="F2" s="2" t="s">
        <v>9</v>
      </c>
    </row>
    <row r="3" spans="1:6" ht="16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143</v>
      </c>
      <c r="F3" s="2" t="s">
        <v>14</v>
      </c>
    </row>
    <row r="4" spans="1:6" ht="32" x14ac:dyDescent="0.2">
      <c r="A4" s="2" t="s">
        <v>15</v>
      </c>
      <c r="B4" s="2" t="s">
        <v>140</v>
      </c>
      <c r="C4" s="2" t="s">
        <v>17</v>
      </c>
      <c r="D4" s="2" t="s">
        <v>18</v>
      </c>
      <c r="E4" s="2" t="s">
        <v>144</v>
      </c>
      <c r="F4" s="2" t="s">
        <v>19</v>
      </c>
    </row>
    <row r="5" spans="1:6" ht="32" x14ac:dyDescent="0.2">
      <c r="A5" s="2" t="s">
        <v>20</v>
      </c>
      <c r="B5" s="2" t="s">
        <v>16</v>
      </c>
      <c r="C5" s="2" t="s">
        <v>21</v>
      </c>
      <c r="D5" s="2" t="s">
        <v>22</v>
      </c>
      <c r="E5" s="2" t="s">
        <v>144</v>
      </c>
      <c r="F5" s="2" t="s">
        <v>23</v>
      </c>
    </row>
    <row r="6" spans="1:6" ht="32" x14ac:dyDescent="0.2">
      <c r="A6" s="2" t="s">
        <v>24</v>
      </c>
      <c r="B6" s="2" t="s">
        <v>16</v>
      </c>
      <c r="C6" s="2" t="s">
        <v>25</v>
      </c>
      <c r="D6" s="2" t="s">
        <v>26</v>
      </c>
      <c r="E6" s="2" t="s">
        <v>144</v>
      </c>
      <c r="F6" s="2" t="s">
        <v>27</v>
      </c>
    </row>
    <row r="7" spans="1:6" ht="32" x14ac:dyDescent="0.2">
      <c r="A7" s="2" t="s">
        <v>28</v>
      </c>
      <c r="B7" s="2" t="s">
        <v>16</v>
      </c>
      <c r="C7" s="2" t="s">
        <v>29</v>
      </c>
      <c r="D7" s="2" t="s">
        <v>30</v>
      </c>
      <c r="E7" s="2" t="s">
        <v>144</v>
      </c>
      <c r="F7" s="2" t="s">
        <v>31</v>
      </c>
    </row>
    <row r="8" spans="1:6" ht="32" x14ac:dyDescent="0.2">
      <c r="A8" s="2" t="s">
        <v>32</v>
      </c>
      <c r="B8" s="2" t="s">
        <v>16</v>
      </c>
      <c r="C8" s="2" t="s">
        <v>33</v>
      </c>
      <c r="D8" s="2" t="s">
        <v>34</v>
      </c>
      <c r="E8" s="2" t="s">
        <v>144</v>
      </c>
      <c r="F8" s="2" t="s">
        <v>35</v>
      </c>
    </row>
    <row r="9" spans="1:6" ht="32" x14ac:dyDescent="0.2">
      <c r="A9" s="2" t="s">
        <v>36</v>
      </c>
      <c r="B9" s="2" t="s">
        <v>16</v>
      </c>
      <c r="C9" s="2" t="s">
        <v>37</v>
      </c>
      <c r="D9" s="2" t="s">
        <v>38</v>
      </c>
      <c r="E9" s="2" t="s">
        <v>144</v>
      </c>
      <c r="F9" s="2" t="s">
        <v>39</v>
      </c>
    </row>
    <row r="10" spans="1:6" ht="32" x14ac:dyDescent="0.2">
      <c r="A10" s="2" t="s">
        <v>40</v>
      </c>
      <c r="B10" s="2" t="s">
        <v>16</v>
      </c>
      <c r="C10" s="2" t="s">
        <v>41</v>
      </c>
      <c r="D10" s="2" t="s">
        <v>42</v>
      </c>
      <c r="E10" s="2" t="s">
        <v>144</v>
      </c>
      <c r="F10" s="2" t="s">
        <v>43</v>
      </c>
    </row>
    <row r="11" spans="1:6" ht="16" x14ac:dyDescent="0.2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145</v>
      </c>
      <c r="F11" s="2" t="s">
        <v>48</v>
      </c>
    </row>
    <row r="12" spans="1:6" ht="32" x14ac:dyDescent="0.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146</v>
      </c>
      <c r="F12" s="2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15" customWidth="1"/>
    <col min="8" max="8" width="30" customWidth="1"/>
  </cols>
  <sheetData>
    <row r="1" spans="1:9" x14ac:dyDescent="0.2">
      <c r="D1" s="64" t="s">
        <v>54</v>
      </c>
      <c r="E1" s="65"/>
      <c r="F1" s="65"/>
      <c r="G1" s="65"/>
    </row>
    <row r="2" spans="1:9" ht="32" x14ac:dyDescent="0.2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</row>
    <row r="3" spans="1:9" x14ac:dyDescent="0.2">
      <c r="A3" s="5" t="s">
        <v>64</v>
      </c>
      <c r="B3" s="5" t="s">
        <v>65</v>
      </c>
      <c r="C3" s="5" t="s">
        <v>192</v>
      </c>
      <c r="D3" s="6" t="s">
        <v>66</v>
      </c>
      <c r="E3" s="6" t="s">
        <v>66</v>
      </c>
      <c r="F3" s="6" t="s">
        <v>66</v>
      </c>
      <c r="G3" s="6" t="s">
        <v>66</v>
      </c>
      <c r="H3" s="5"/>
      <c r="I3" s="5"/>
    </row>
    <row r="4" spans="1:9" x14ac:dyDescent="0.2">
      <c r="A4" s="4" t="s">
        <v>67</v>
      </c>
      <c r="B4" s="4" t="s">
        <v>68</v>
      </c>
      <c r="C4" s="4" t="s">
        <v>193</v>
      </c>
      <c r="D4" s="7" t="s">
        <v>66</v>
      </c>
      <c r="E4" s="7" t="s">
        <v>66</v>
      </c>
      <c r="F4" s="7" t="s">
        <v>66</v>
      </c>
      <c r="G4" s="7" t="s">
        <v>66</v>
      </c>
      <c r="H4" s="4"/>
      <c r="I4" s="4"/>
    </row>
    <row r="5" spans="1:9" x14ac:dyDescent="0.2">
      <c r="A5" s="5" t="s">
        <v>69</v>
      </c>
      <c r="B5" s="5" t="s">
        <v>70</v>
      </c>
      <c r="C5" s="5"/>
      <c r="D5" s="6" t="s">
        <v>66</v>
      </c>
      <c r="E5" s="6" t="s">
        <v>66</v>
      </c>
      <c r="F5" s="6" t="s">
        <v>66</v>
      </c>
      <c r="G5" s="6" t="s">
        <v>66</v>
      </c>
      <c r="H5" s="5"/>
      <c r="I5" s="5"/>
    </row>
    <row r="6" spans="1:9" x14ac:dyDescent="0.2">
      <c r="A6" s="4" t="s">
        <v>71</v>
      </c>
      <c r="B6" s="4" t="s">
        <v>72</v>
      </c>
      <c r="C6" s="4"/>
      <c r="D6" s="7" t="s">
        <v>66</v>
      </c>
      <c r="E6" s="7" t="s">
        <v>66</v>
      </c>
      <c r="F6" s="7" t="s">
        <v>66</v>
      </c>
      <c r="G6" s="7" t="s">
        <v>66</v>
      </c>
      <c r="H6" s="4" t="s">
        <v>73</v>
      </c>
      <c r="I6" s="4"/>
    </row>
    <row r="7" spans="1:9" x14ac:dyDescent="0.2">
      <c r="A7" s="5" t="s">
        <v>74</v>
      </c>
      <c r="B7" s="5" t="s">
        <v>75</v>
      </c>
      <c r="C7" s="5"/>
      <c r="D7" s="6" t="s">
        <v>66</v>
      </c>
      <c r="E7" s="6" t="s">
        <v>66</v>
      </c>
      <c r="F7" s="6" t="s">
        <v>66</v>
      </c>
      <c r="G7" s="6" t="s">
        <v>66</v>
      </c>
      <c r="H7" s="5"/>
      <c r="I7" s="5"/>
    </row>
    <row r="8" spans="1:9" x14ac:dyDescent="0.2">
      <c r="A8" s="4" t="s">
        <v>20</v>
      </c>
      <c r="B8" s="4" t="s">
        <v>76</v>
      </c>
      <c r="C8" s="4"/>
      <c r="D8" s="7" t="s">
        <v>66</v>
      </c>
      <c r="E8" s="7" t="s">
        <v>66</v>
      </c>
      <c r="F8" s="7" t="s">
        <v>66</v>
      </c>
      <c r="G8" s="7" t="s">
        <v>66</v>
      </c>
      <c r="H8" s="4"/>
      <c r="I8" s="4"/>
    </row>
    <row r="9" spans="1:9" x14ac:dyDescent="0.2">
      <c r="A9" s="4" t="s">
        <v>24</v>
      </c>
      <c r="B9" s="4" t="s">
        <v>77</v>
      </c>
      <c r="C9" s="4"/>
      <c r="D9" s="7" t="s">
        <v>66</v>
      </c>
      <c r="E9" s="7" t="s">
        <v>66</v>
      </c>
      <c r="F9" s="7" t="s">
        <v>66</v>
      </c>
      <c r="G9" s="4"/>
      <c r="H9" s="4"/>
      <c r="I9" s="4"/>
    </row>
    <row r="10" spans="1:9" x14ac:dyDescent="0.2">
      <c r="A10" s="5" t="s">
        <v>78</v>
      </c>
      <c r="B10" s="5" t="s">
        <v>79</v>
      </c>
      <c r="C10" s="5"/>
      <c r="D10" s="6" t="s">
        <v>66</v>
      </c>
      <c r="E10" s="6" t="s">
        <v>66</v>
      </c>
      <c r="F10" s="6" t="s">
        <v>66</v>
      </c>
      <c r="G10" s="5"/>
      <c r="H10" s="5"/>
      <c r="I10" s="5"/>
    </row>
    <row r="11" spans="1:9" x14ac:dyDescent="0.2">
      <c r="A11" s="4" t="s">
        <v>80</v>
      </c>
      <c r="B11" s="4" t="s">
        <v>81</v>
      </c>
      <c r="C11" s="4"/>
      <c r="D11" s="7" t="s">
        <v>66</v>
      </c>
      <c r="E11" s="7" t="s">
        <v>66</v>
      </c>
      <c r="F11" s="7" t="s">
        <v>66</v>
      </c>
      <c r="G11" s="4"/>
      <c r="H11" s="4"/>
      <c r="I11" s="4"/>
    </row>
    <row r="12" spans="1:9" x14ac:dyDescent="0.2">
      <c r="A12" s="4" t="s">
        <v>82</v>
      </c>
      <c r="B12" s="4" t="s">
        <v>83</v>
      </c>
      <c r="C12" s="4"/>
      <c r="D12" s="7" t="s">
        <v>66</v>
      </c>
      <c r="E12" s="7" t="s">
        <v>66</v>
      </c>
      <c r="F12" s="7" t="s">
        <v>66</v>
      </c>
      <c r="G12" s="4"/>
      <c r="H12" s="4"/>
      <c r="I12" s="4"/>
    </row>
  </sheetData>
  <mergeCells count="1"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Master Plan</vt:lpstr>
      <vt:lpstr>2. To-do list</vt:lpstr>
      <vt:lpstr>3. Detail Plan</vt:lpstr>
      <vt:lpstr>4. WBS &amp; Requirements</vt:lpstr>
      <vt:lpstr>Ref. Definition of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Nguyen</cp:lastModifiedBy>
  <dcterms:created xsi:type="dcterms:W3CDTF">2026-05-10T02:34:03Z</dcterms:created>
  <dcterms:modified xsi:type="dcterms:W3CDTF">2026-06-05T09:08:11Z</dcterms:modified>
</cp:coreProperties>
</file>